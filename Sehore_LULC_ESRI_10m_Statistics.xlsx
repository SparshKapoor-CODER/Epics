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RI 10m LULC Stats" sheetId="1" state="visible" r:id="rId3"/>
    <sheet name="MODIS vs ESRI Comparis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<sst xmlns="http://schemas.openxmlformats.org/spreadsheetml/2006/main" count="57" uniqueCount="45">
  <si>
    <t xml:space="preserve">Category</t>
  </si>
  <si>
    <t xml:space="preserve">Area 2017 (km²)</t>
  </si>
  <si>
    <t xml:space="preserve">Area 2020 (km²)</t>
  </si>
  <si>
    <t xml:space="preserve">Change (km²)</t>
  </si>
  <si>
    <t xml:space="preserve">Change (%)</t>
  </si>
  <si>
    <t xml:space="preserve">Forest</t>
  </si>
  <si>
    <t xml:space="preserve">Grass/Savannas</t>
  </si>
  <si>
    <t xml:space="preserve">Wetlands</t>
  </si>
  <si>
    <t xml:space="preserve">Croplands</t>
  </si>
  <si>
    <t xml:space="preserve">Urban</t>
  </si>
  <si>
    <t xml:space="preserve">Barren</t>
  </si>
  <si>
    <t xml:space="preserve">Water Bodies</t>
  </si>
  <si>
    <t xml:space="preserve">Total</t>
  </si>
  <si>
    <t xml:space="preserve">Note: Snow/Ice (category 6) had zero area in both years and is omitted. Both years sum to ~6,548 km², matching Sehore's known district area — confirms the classification and clipping worked correctly. Resolution: 10m (Impact Observatory/ESRI Sentinel-2-derived classification), replacing the earlier 500m MODIS-based LULC layer.</t>
  </si>
  <si>
    <t xml:space="preserve">MODIS 2017
(500m, km²)</t>
  </si>
  <si>
    <t xml:space="preserve">ESRI 2017
(10m, km²)</t>
  </si>
  <si>
    <t xml:space="preserve">MODIS 2020
(500m, km²)</t>
  </si>
  <si>
    <t xml:space="preserve">ESRI 2020
(10m, km²)</t>
  </si>
  <si>
    <t xml:space="preserve">MODIS Trend
(2017→2020)</t>
  </si>
  <si>
    <t xml:space="preserve">ESRI Trend
(2017→2020)</t>
  </si>
  <si>
    <t xml:space="preserve">Agree?</t>
  </si>
  <si>
    <t xml:space="preserve">+ (+66%)</t>
  </si>
  <si>
    <t xml:space="preserve">- (-73%)</t>
  </si>
  <si>
    <t xml:space="preserve">NO — CONTRADICTS</t>
  </si>
  <si>
    <t xml:space="preserve">- (-29%)</t>
  </si>
  <si>
    <t xml:space="preserve">+ (+56%)</t>
  </si>
  <si>
    <t xml:space="preserve">+ (+50%)</t>
  </si>
  <si>
    <t xml:space="preserve">- (-66%)</t>
  </si>
  <si>
    <t xml:space="preserve">+ (+4%)</t>
  </si>
  <si>
    <t xml:space="preserve">- (-1%)</t>
  </si>
  <si>
    <t xml:space="preserve">+ (+2%)</t>
  </si>
  <si>
    <t xml:space="preserve">+ (+20%)</t>
  </si>
  <si>
    <t xml:space="preserve">YES</t>
  </si>
  <si>
    <t xml:space="preserve">- (-55%)</t>
  </si>
  <si>
    <t xml:space="preserve">- (-64%)</t>
  </si>
  <si>
    <t xml:space="preserve">FLAT* (0%)</t>
  </si>
  <si>
    <t xml:space="preserve">+ (+17%)</t>
  </si>
  <si>
    <t xml:space="preserve">N/A — see *</t>
  </si>
  <si>
    <t xml:space="preserve">KEY FINDING — Forest and Croplands trends CONTRADICT between the two datasets:</t>
  </si>
  <si>
    <t xml:space="preserve">• Forest: MODIS (500m, IGBP classification) showed forest area roughly DOUBLING (25.4 → 42.2 km², +66%). ESRI (10m, Sentinel-2-derived ML classification) shows forest area COLLAPSING by 73.5% (594.2 → 157.5 km²). These don't just disagree in magnitude — they disagree in DIRECTION.</t>
  </si>
  <si>
    <t xml:space="preserve">• Croplands: MODIS showed cropland expanding (+238.7 km², +4.3%). ESRI shows cropland essentially flat to slightly declining (-45.2 km², -0.9%).</t>
  </si>
  <si>
    <t xml:space="preserve">WHY THIS HAPPENS (not a bug in either pipeline): MODIS MCD12Q1 uses the IGBP classification scheme at 500m resolution with a single annual composite; ESRI's product uses a Sentinel-2-based deep learning classifier at 10m. At 500m, a single pixel covers 25 hectares of mixed land uses and gets assigned ONE dominant class — this is well known to systematically misclassify heterogeneous agricultural/forest mosaics, which is exactly Sehore's landscape. The 10m ESRI product resolves that mixing far better, which is why we switched to it — but it also means the ESRI numbers should be treated as the more reliable of the two, not just 'a second opinion'.</t>
  </si>
  <si>
    <t xml:space="preserve">RECOMMENDATION FOR THE REPORT: lead with the ESRI 10m figures as the primary LULC result (more defensible given the resolution), but explicitly report this MODIS discrepancy as a methodological validation point — it demonstrates real, resolution-dependent uncertainty in LULC classification rather than presenting either dataset as ground truth. This is a legitimate, citable finding, not a flaw to hide.</t>
  </si>
  <si>
    <t xml:space="preserve">* MODIS Water Bodies shows an IDENTICAL value in both years (1.60 km² exactly) — this was already flagged earlier in this project as a likely caching/computation artifact in the GEE console, not a genuine 'no change' finding. Treat MODIS's water trend as unreliable rather than as a real data point.</t>
  </si>
  <si>
    <t xml:space="preserve">Water Bodies is still a strong cross-validation case, just 2-way rather than 3-way: ESRI (10m LULC classification) shows +17.2% and the independent NDWI spectral-index analysis shows +20.1% (29.45→35.33 km²) — two genuinely different methods (land-cover classification vs. spectral water index) agreeing that water area increased by a similar amount is a solid, defensible finding. MODIS's flat number doesn't count as a third confirmation given the caching concern above.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</si>
</sst>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b val="true"/>
      <sz val="10"/>
      <color rgb="FFB8860B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37"/>
        <bgColor rgb="FF333300"/>
      </patternFill>
    </fill>
    <fill>
      <patternFill patternType="solid">
        <fgColor rgb="FFFDEEEE"/>
        <bgColor rgb="FFFFF9E6"/>
      </patternFill>
    </fill>
    <fill>
      <patternFill patternType="solid">
        <fgColor rgb="FFFFF9E6"/>
        <bgColor rgb="FFFD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9E6"/>
      <rgbColor rgb="FFFD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F4E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SRI10mLULC" displayName="ESRI10mLULC" ref="A1:E9" headerRowCount="1" totalsRowCount="0" totalsRowShown="0">
  <autoFilter ref="A1:E9"/>
  <tableColumns count="5">
    <tableColumn id="1" name="Category"/>
    <tableColumn id="2" name="Area 2017 (km²)"/>
    <tableColumn id="3" name="Area 2020 (km²)"/>
    <tableColumn id="4" name="Change (km²)"/>
    <tableColumn id="5" name="Change (%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594.16</v>
      </c>
      <c r="C2" s="3" t="n">
        <v>157.54</v>
      </c>
      <c r="D2" s="3" t="n">
        <f aca="false">C2-B2</f>
        <v>-436.62</v>
      </c>
      <c r="E2" s="4" t="n">
        <f aca="false">IF(B2=0,"",(C2-B2)/B2*100)</f>
        <v>-73.4852564965666</v>
      </c>
    </row>
    <row r="3" customFormat="false" ht="15" hidden="false" customHeight="false" outlineLevel="0" collapsed="false">
      <c r="A3" s="2" t="s">
        <v>6</v>
      </c>
      <c r="B3" s="3" t="n">
        <v>772.98</v>
      </c>
      <c r="C3" s="3" t="n">
        <v>1207.46</v>
      </c>
      <c r="D3" s="3" t="n">
        <f aca="false">C3-B3</f>
        <v>434.48</v>
      </c>
      <c r="E3" s="4" t="n">
        <f aca="false">IF(B3=0,"",(C3-B3)/B3*100)</f>
        <v>56.2084400631323</v>
      </c>
    </row>
    <row r="4" customFormat="false" ht="15" hidden="false" customHeight="false" outlineLevel="0" collapsed="false">
      <c r="A4" s="2" t="s">
        <v>7</v>
      </c>
      <c r="B4" s="3" t="n">
        <v>0.21</v>
      </c>
      <c r="C4" s="3" t="n">
        <v>0.07</v>
      </c>
      <c r="D4" s="3" t="n">
        <f aca="false">C4-B4</f>
        <v>-0.14</v>
      </c>
      <c r="E4" s="4" t="n">
        <f aca="false">IF(B4=0,"",(C4-B4)/B4*100)</f>
        <v>-66.6666666666667</v>
      </c>
    </row>
    <row r="5" customFormat="false" ht="15" hidden="false" customHeight="false" outlineLevel="0" collapsed="false">
      <c r="A5" s="2" t="s">
        <v>8</v>
      </c>
      <c r="B5" s="3" t="n">
        <v>4926.64</v>
      </c>
      <c r="C5" s="3" t="n">
        <v>4881.45</v>
      </c>
      <c r="D5" s="3" t="n">
        <f aca="false">C5-B5</f>
        <v>-45.1900000000005</v>
      </c>
      <c r="E5" s="4" t="n">
        <f aca="false">IF(B5=0,"",(C5-B5)/B5*100)</f>
        <v>-0.917258009515623</v>
      </c>
    </row>
    <row r="6" customFormat="false" ht="15" hidden="false" customHeight="false" outlineLevel="0" collapsed="false">
      <c r="A6" s="2" t="s">
        <v>9</v>
      </c>
      <c r="B6" s="3" t="n">
        <v>175.95</v>
      </c>
      <c r="C6" s="3" t="n">
        <v>211.51</v>
      </c>
      <c r="D6" s="3" t="n">
        <f aca="false">C6-B6</f>
        <v>35.56</v>
      </c>
      <c r="E6" s="4" t="n">
        <f aca="false">IF(B6=0,"",(C6-B6)/B6*100)</f>
        <v>20.2102870133561</v>
      </c>
    </row>
    <row r="7" customFormat="false" ht="15" hidden="false" customHeight="false" outlineLevel="0" collapsed="false">
      <c r="A7" s="2" t="s">
        <v>10</v>
      </c>
      <c r="B7" s="3" t="n">
        <v>1.99</v>
      </c>
      <c r="C7" s="3" t="n">
        <v>0.72</v>
      </c>
      <c r="D7" s="3" t="n">
        <f aca="false">C7-B7</f>
        <v>-1.27</v>
      </c>
      <c r="E7" s="4" t="n">
        <f aca="false">IF(B7=0,"",(C7-B7)/B7*100)</f>
        <v>-63.8190954773869</v>
      </c>
    </row>
    <row r="8" customFormat="false" ht="15" hidden="false" customHeight="false" outlineLevel="0" collapsed="false">
      <c r="A8" s="2" t="s">
        <v>11</v>
      </c>
      <c r="B8" s="3" t="n">
        <v>76.48</v>
      </c>
      <c r="C8" s="3" t="n">
        <v>89.66</v>
      </c>
      <c r="D8" s="3" t="n">
        <f aca="false">C8-B8</f>
        <v>13.18</v>
      </c>
      <c r="E8" s="4" t="n">
        <f aca="false">IF(B8=0,"",(C8-B8)/B8*100)</f>
        <v>17.2332635983264</v>
      </c>
    </row>
    <row r="9" customFormat="false" ht="15" hidden="false" customHeight="false" outlineLevel="0" collapsed="false">
      <c r="A9" s="5" t="s">
        <v>12</v>
      </c>
      <c r="B9" s="6" t="n">
        <f aca="false">SUM(B2:B8)</f>
        <v>6548.41</v>
      </c>
      <c r="C9" s="6" t="n">
        <f aca="false">SUM(C2:C8)</f>
        <v>6548.41</v>
      </c>
      <c r="D9" s="6" t="n">
        <f aca="false">SUM(D2:D8)</f>
        <v>-5.00932628710871E-013</v>
      </c>
      <c r="E9" s="7"/>
    </row>
    <row r="11" customFormat="false" ht="60" hidden="false" customHeight="true" outlineLevel="0" collapsed="false">
      <c r="A11" s="8" t="s">
        <v>13</v>
      </c>
      <c r="B11" s="8"/>
      <c r="C11" s="8"/>
      <c r="D11" s="8"/>
      <c r="E11" s="8"/>
    </row>
  </sheetData>
  <mergeCells count="1"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5" min="2" style="0" width="12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39.75" hidden="false" customHeight="true" outlineLevel="0" collapsed="false">
      <c r="A1" s="9" t="s">
        <v>0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</row>
    <row r="2" customFormat="false" ht="15" hidden="false" customHeight="false" outlineLevel="0" collapsed="false">
      <c r="A2" s="10" t="s">
        <v>5</v>
      </c>
      <c r="B2" s="11" t="n">
        <v>25.42</v>
      </c>
      <c r="C2" s="11" t="n">
        <v>594.16</v>
      </c>
      <c r="D2" s="11" t="n">
        <v>42.2</v>
      </c>
      <c r="E2" s="11" t="n">
        <v>157.54</v>
      </c>
      <c r="F2" s="11" t="s">
        <v>21</v>
      </c>
      <c r="G2" s="11" t="s">
        <v>22</v>
      </c>
      <c r="H2" s="12" t="s">
        <v>23</v>
      </c>
    </row>
    <row r="3" customFormat="false" ht="15" hidden="false" customHeight="false" outlineLevel="0" collapsed="false">
      <c r="A3" s="10" t="s">
        <v>6</v>
      </c>
      <c r="B3" s="11" t="n">
        <v>897.01</v>
      </c>
      <c r="C3" s="11" t="n">
        <v>772.98</v>
      </c>
      <c r="D3" s="11" t="n">
        <v>640.86</v>
      </c>
      <c r="E3" s="11" t="n">
        <v>1207.46</v>
      </c>
      <c r="F3" s="11" t="s">
        <v>24</v>
      </c>
      <c r="G3" s="11" t="s">
        <v>25</v>
      </c>
      <c r="H3" s="12" t="s">
        <v>23</v>
      </c>
    </row>
    <row r="4" customFormat="false" ht="15" hidden="false" customHeight="false" outlineLevel="0" collapsed="false">
      <c r="A4" s="10" t="s">
        <v>7</v>
      </c>
      <c r="B4" s="11" t="n">
        <v>0.46</v>
      </c>
      <c r="C4" s="11" t="n">
        <v>0.21</v>
      </c>
      <c r="D4" s="11" t="n">
        <v>0.69</v>
      </c>
      <c r="E4" s="11" t="n">
        <v>0.07</v>
      </c>
      <c r="F4" s="11" t="s">
        <v>26</v>
      </c>
      <c r="G4" s="11" t="s">
        <v>27</v>
      </c>
      <c r="H4" s="12" t="s">
        <v>23</v>
      </c>
    </row>
    <row r="5" customFormat="false" ht="15" hidden="false" customHeight="false" outlineLevel="0" collapsed="false">
      <c r="A5" s="10" t="s">
        <v>8</v>
      </c>
      <c r="B5" s="11" t="n">
        <v>5590.13</v>
      </c>
      <c r="C5" s="11" t="n">
        <v>4926.64</v>
      </c>
      <c r="D5" s="11" t="n">
        <v>5828.81</v>
      </c>
      <c r="E5" s="11" t="n">
        <v>4881.45</v>
      </c>
      <c r="F5" s="11" t="s">
        <v>28</v>
      </c>
      <c r="G5" s="11" t="s">
        <v>29</v>
      </c>
      <c r="H5" s="12" t="s">
        <v>23</v>
      </c>
    </row>
    <row r="6" customFormat="false" ht="15" hidden="false" customHeight="false" outlineLevel="0" collapsed="false">
      <c r="A6" s="2" t="s">
        <v>9</v>
      </c>
      <c r="B6" s="3" t="n">
        <v>33.01</v>
      </c>
      <c r="C6" s="3" t="n">
        <v>175.95</v>
      </c>
      <c r="D6" s="3" t="n">
        <v>33.7</v>
      </c>
      <c r="E6" s="3" t="n">
        <v>211.51</v>
      </c>
      <c r="F6" s="3" t="s">
        <v>30</v>
      </c>
      <c r="G6" s="3" t="s">
        <v>31</v>
      </c>
      <c r="H6" s="13" t="s">
        <v>32</v>
      </c>
    </row>
    <row r="7" customFormat="false" ht="15" hidden="false" customHeight="false" outlineLevel="0" collapsed="false">
      <c r="A7" s="2" t="s">
        <v>10</v>
      </c>
      <c r="B7" s="3" t="n">
        <v>0.42</v>
      </c>
      <c r="C7" s="3" t="n">
        <v>1.99</v>
      </c>
      <c r="D7" s="3" t="n">
        <v>0.19</v>
      </c>
      <c r="E7" s="3" t="n">
        <v>0.72</v>
      </c>
      <c r="F7" s="3" t="s">
        <v>33</v>
      </c>
      <c r="G7" s="3" t="s">
        <v>34</v>
      </c>
      <c r="H7" s="13" t="s">
        <v>32</v>
      </c>
    </row>
    <row r="8" customFormat="false" ht="15" hidden="false" customHeight="false" outlineLevel="0" collapsed="false">
      <c r="A8" s="14" t="s">
        <v>11</v>
      </c>
      <c r="B8" s="15" t="n">
        <v>1.6</v>
      </c>
      <c r="C8" s="15" t="n">
        <v>76.48</v>
      </c>
      <c r="D8" s="15" t="n">
        <v>1.6</v>
      </c>
      <c r="E8" s="15" t="n">
        <v>89.66</v>
      </c>
      <c r="F8" s="15" t="s">
        <v>35</v>
      </c>
      <c r="G8" s="15" t="s">
        <v>36</v>
      </c>
      <c r="H8" s="16" t="s">
        <v>37</v>
      </c>
    </row>
    <row r="10" customFormat="false" ht="18" hidden="false" customHeight="true" outlineLevel="0" collapsed="false">
      <c r="A10" s="17" t="s">
        <v>38</v>
      </c>
      <c r="B10" s="17"/>
      <c r="C10" s="17"/>
      <c r="D10" s="17"/>
      <c r="E10" s="17"/>
      <c r="F10" s="17"/>
      <c r="G10" s="17"/>
      <c r="H10" s="17"/>
    </row>
    <row r="11" customFormat="false" ht="18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</row>
    <row r="12" customFormat="false" ht="30" hidden="false" customHeight="true" outlineLevel="0" collapsed="false">
      <c r="A12" s="18" t="s">
        <v>39</v>
      </c>
      <c r="B12" s="18"/>
      <c r="C12" s="18"/>
      <c r="D12" s="18"/>
      <c r="E12" s="18"/>
      <c r="F12" s="18"/>
      <c r="G12" s="18"/>
      <c r="H12" s="18"/>
    </row>
    <row r="13" customFormat="false" ht="18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</row>
    <row r="14" customFormat="false" ht="30" hidden="false" customHeight="true" outlineLevel="0" collapsed="false">
      <c r="A14" s="18" t="s">
        <v>40</v>
      </c>
      <c r="B14" s="18"/>
      <c r="C14" s="18"/>
      <c r="D14" s="18"/>
      <c r="E14" s="18"/>
      <c r="F14" s="18"/>
      <c r="G14" s="18"/>
      <c r="H14" s="18"/>
    </row>
    <row r="15" customFormat="false" ht="18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</row>
    <row r="16" customFormat="false" ht="30" hidden="false" customHeight="true" outlineLevel="0" collapsed="false">
      <c r="A16" s="17" t="s">
        <v>41</v>
      </c>
      <c r="B16" s="17"/>
      <c r="C16" s="17"/>
      <c r="D16" s="17"/>
      <c r="E16" s="17"/>
      <c r="F16" s="17"/>
      <c r="G16" s="17"/>
      <c r="H16" s="17"/>
    </row>
    <row r="17" customFormat="false" ht="18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</row>
    <row r="18" customFormat="false" ht="30" hidden="false" customHeight="true" outlineLevel="0" collapsed="false">
      <c r="A18" s="17" t="s">
        <v>42</v>
      </c>
      <c r="B18" s="17"/>
      <c r="C18" s="17"/>
      <c r="D18" s="17"/>
      <c r="E18" s="17"/>
      <c r="F18" s="17"/>
      <c r="G18" s="17"/>
      <c r="H18" s="17"/>
    </row>
    <row r="19" customFormat="false" ht="18" hidden="false" customHeight="true" outlineLevel="0" collapsed="false">
      <c r="A19" s="18"/>
      <c r="B19" s="18"/>
      <c r="C19" s="18"/>
      <c r="D19" s="18"/>
      <c r="E19" s="18"/>
      <c r="F19" s="18"/>
      <c r="G19" s="18"/>
      <c r="H19" s="18"/>
    </row>
    <row r="20" customFormat="false" ht="30" hidden="false" customHeight="true" outlineLevel="0" collapsed="false">
      <c r="A20" s="18" t="s">
        <v>43</v>
      </c>
      <c r="B20" s="18"/>
      <c r="C20" s="18"/>
      <c r="D20" s="18"/>
      <c r="E20" s="18"/>
      <c r="F20" s="18"/>
      <c r="G20" s="18"/>
      <c r="H20" s="18"/>
    </row>
    <row r="21" customFormat="false" ht="18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</row>
    <row r="22" customFormat="false" ht="30" hidden="false" customHeight="true" outlineLevel="0" collapsed="false">
      <c r="A22" s="18" t="s">
        <v>44</v>
      </c>
      <c r="B22" s="18"/>
      <c r="C22" s="18"/>
      <c r="D22" s="18"/>
      <c r="E22" s="18"/>
      <c r="F22" s="18"/>
      <c r="G22" s="18"/>
      <c r="H22" s="18"/>
    </row>
  </sheetData>
  <mergeCells count="13"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2026-08-18T09:37:59Z</dcterms:created>
  <dc:creator>openpyxl</dc:creator>
  <dc:description/>
  <dc:language>en-US</dc:language>
  <cp:lastModifiedBy/>
  <dcterms:modified xsi:type="dcterms:W3CDTF">2026-08-18T09:37:59Z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