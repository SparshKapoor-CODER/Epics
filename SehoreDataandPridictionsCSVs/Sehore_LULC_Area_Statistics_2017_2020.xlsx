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LC Area by Catego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<sst xmlns="http://schemas.openxmlformats.org/spreadsheetml/2006/main" count="15" uniqueCount="15">
  <si>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Category ID</t>
  </si>
  <si>
    <t xml:space="preserve">Category Name</t>
  </si>
  <si>
    <t xml:space="preserve">Area 2017 (km²)</t>
  </si>
  <si>
    <t xml:space="preserve">Area 2020 (km²)</t>
  </si>
  <si>
    <t xml:space="preserve">Change (km²)</t>
  </si>
  <si>
    <t xml:space="preserve">Change (%)</t>
  </si>
  <si>
    <t xml:space="preserve">Forest</t>
  </si>
  <si>
    <t xml:space="preserve">Grass/Savannas</t>
  </si>
  <si>
    <t xml:space="preserve">Wetlands</t>
  </si>
  <si>
    <t xml:space="preserve">Croplands</t>
  </si>
  <si>
    <t xml:space="preserve">Urban</t>
  </si>
  <si>
    <t xml:space="preserve">Barren</t>
  </si>
  <si>
    <t xml:space="preserve">Water Bodies</t>
  </si>
  <si>
    <t xml:space="preserve">Total</t>
  </si>
  <si>
    <t xml:space="preserve">Note: Snow/Ice (category 6) had zero area in both years and is omitted. Water Bodies (category 8) shows an identical value in 2017 and 2020 (1.6039065 km²) in the source GEE output — worth double-checking this wasn't a cached/stale computation in the console before treating it as a real finding, since your separate NDWI-based water analysis (29.45 to 35.33 km², 2017 to 2024) shows a much larger water extent than this MODIS-classification-derived figure. The two numbers aren't measuring the same thing (MODIS 500m land-cover classification vs. Sentinel-2 10m NDWI index) so a mismatch is expected, but the exact-match repeat value across years is worth a sanity check.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</si>
</sst>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i val="true"/>
      <sz val="9"/>
      <color rgb="FF666666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ULCStats" displayName="LULCStats" ref="A1:F9" headerRowCount="1" totalsRowCount="0" totalsRowShown="0">
  <autoFilter ref="A1:F9"/>
  <tableColumns count="6">
    <tableColumn id="1" name="Category ID"/>
    <tableColumn id="2" name="Category Name"/>
    <tableColumn id="3" name="Area 2017 (km²)"/>
    <tableColumn id="4" name="Area 2020 (km²)"/>
    <tableColumn id="5" name="Change (km²)"/>
    <tableColumn id="6" name="Change (%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2" t="n">
        <v>25.42</v>
      </c>
      <c r="D2" s="2" t="n">
        <v>42.2</v>
      </c>
      <c r="E2" s="2" t="n">
        <f aca="false">D2-C2</f>
        <v>16.78</v>
      </c>
      <c r="F2" s="4" t="n">
        <f aca="false">IF(C2=0,"",(D2-C2)/C2*100)</f>
        <v>66.0110149488592</v>
      </c>
    </row>
    <row r="3" customFormat="false" ht="15" hidden="false" customHeight="false" outlineLevel="0" collapsed="false">
      <c r="A3" s="2" t="n">
        <v>2</v>
      </c>
      <c r="B3" s="3" t="s">
        <v>7</v>
      </c>
      <c r="C3" s="2" t="n">
        <v>897.01</v>
      </c>
      <c r="D3" s="2" t="n">
        <v>640.86</v>
      </c>
      <c r="E3" s="2" t="n">
        <f aca="false">D3-C3</f>
        <v>-256.15</v>
      </c>
      <c r="F3" s="4" t="n">
        <f aca="false">IF(C3=0,"",(D3-C3)/C3*100)</f>
        <v>-28.5559804238526</v>
      </c>
    </row>
    <row r="4" customFormat="false" ht="15" hidden="false" customHeight="false" outlineLevel="0" collapsed="false">
      <c r="A4" s="2" t="n">
        <v>3</v>
      </c>
      <c r="B4" s="3" t="s">
        <v>8</v>
      </c>
      <c r="C4" s="2" t="n">
        <v>0.46</v>
      </c>
      <c r="D4" s="2" t="n">
        <v>0.69</v>
      </c>
      <c r="E4" s="2" t="n">
        <f aca="false">D4-C4</f>
        <v>0.23</v>
      </c>
      <c r="F4" s="4" t="n">
        <f aca="false">IF(C4=0,"",(D4-C4)/C4*100)</f>
        <v>50</v>
      </c>
    </row>
    <row r="5" customFormat="false" ht="15" hidden="false" customHeight="false" outlineLevel="0" collapsed="false">
      <c r="A5" s="2" t="n">
        <v>4</v>
      </c>
      <c r="B5" s="3" t="s">
        <v>9</v>
      </c>
      <c r="C5" s="2" t="n">
        <v>5590.13</v>
      </c>
      <c r="D5" s="2" t="n">
        <v>5828.81</v>
      </c>
      <c r="E5" s="2" t="n">
        <f aca="false">D5-C5</f>
        <v>238.68</v>
      </c>
      <c r="F5" s="4" t="n">
        <f aca="false">IF(C5=0,"",(D5-C5)/C5*100)</f>
        <v>4.26966814725239</v>
      </c>
    </row>
    <row r="6" customFormat="false" ht="15" hidden="false" customHeight="false" outlineLevel="0" collapsed="false">
      <c r="A6" s="2" t="n">
        <v>5</v>
      </c>
      <c r="B6" s="3" t="s">
        <v>10</v>
      </c>
      <c r="C6" s="2" t="n">
        <v>33.01</v>
      </c>
      <c r="D6" s="2" t="n">
        <v>33.7</v>
      </c>
      <c r="E6" s="2" t="n">
        <f aca="false">D6-C6</f>
        <v>0.690000000000005</v>
      </c>
      <c r="F6" s="4" t="n">
        <f aca="false">IF(C6=0,"",(D6-C6)/C6*100)</f>
        <v>2.09027567403819</v>
      </c>
    </row>
    <row r="7" customFormat="false" ht="15" hidden="false" customHeight="false" outlineLevel="0" collapsed="false">
      <c r="A7" s="2" t="n">
        <v>7</v>
      </c>
      <c r="B7" s="3" t="s">
        <v>11</v>
      </c>
      <c r="C7" s="2" t="n">
        <v>0.42</v>
      </c>
      <c r="D7" s="2" t="n">
        <v>0.19</v>
      </c>
      <c r="E7" s="2" t="n">
        <f aca="false">D7-C7</f>
        <v>-0.23</v>
      </c>
      <c r="F7" s="4" t="n">
        <f aca="false">IF(C7=0,"",(D7-C7)/C7*100)</f>
        <v>-54.7619047619048</v>
      </c>
    </row>
    <row r="8" customFormat="false" ht="15" hidden="false" customHeight="false" outlineLevel="0" collapsed="false">
      <c r="A8" s="2" t="n">
        <v>8</v>
      </c>
      <c r="B8" s="3" t="s">
        <v>12</v>
      </c>
      <c r="C8" s="2" t="n">
        <v>1.6</v>
      </c>
      <c r="D8" s="2" t="n">
        <v>1.6</v>
      </c>
      <c r="E8" s="2" t="n">
        <f aca="false">D8-C8</f>
        <v>0</v>
      </c>
      <c r="F8" s="4" t="n">
        <f aca="false">IF(C8=0,"",(D8-C8)/C8*100)</f>
        <v>0</v>
      </c>
    </row>
    <row r="9" customFormat="false" ht="15" hidden="false" customHeight="false" outlineLevel="0" collapsed="false">
      <c r="A9" s="5"/>
      <c r="B9" s="6" t="s">
        <v>13</v>
      </c>
      <c r="C9" s="7" t="n">
        <f aca="false">SUM(C2:C8)</f>
        <v>6548.05</v>
      </c>
      <c r="D9" s="7" t="n">
        <f aca="false">SUM(D2:D8)</f>
        <v>6548.05</v>
      </c>
      <c r="E9" s="7" t="n">
        <f aca="false">SUM(E2:E8)</f>
        <v>3.19688719940814E-013</v>
      </c>
      <c r="F9" s="7"/>
    </row>
    <row r="11" customFormat="false" ht="90" hidden="false" customHeight="true" outlineLevel="0" collapsed="false">
      <c r="A11" s="8" t="s">
        <v>14</v>
      </c>
      <c r="B11" s="8"/>
      <c r="C11" s="8"/>
      <c r="D11" s="8"/>
      <c r="E11" s="8"/>
      <c r="F11" s="8"/>
    </row>
  </sheetData>
  <mergeCells count="1"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2026-07-23T13:17:56Z</dcterms:created>
  <dc:creator>openpyxl</dc:creator>
  <dc:description/>
  <dc:language>en-US</dc:language>
  <cp:lastModifiedBy/>
  <dcterms:modified xsi:type="dcterms:W3CDTF">2026-07-23T13:17:56Z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