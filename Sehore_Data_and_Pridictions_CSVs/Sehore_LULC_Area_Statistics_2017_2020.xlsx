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pics\SehoreDataandPridictionsCSVs\"/>
    </mc:Choice>
  </mc:AlternateContent>
  <xr:revisionPtr revIDLastSave="0" documentId="13_ncr:1_{C67E30DA-FCF1-4247-B819-54B5F03EDF1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LULC Area by Catego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C9" i="1"/>
  <c r="F8" i="1"/>
  <c r="E8" i="1"/>
  <c r="F7" i="1"/>
  <c r="E7" i="1"/>
  <c r="F6" i="1"/>
  <c r="E6" i="1"/>
  <c r="F5" i="1"/>
  <c r="E5" i="1"/>
  <c r="F4" i="1"/>
  <c r="E4" i="1"/>
  <c r="E9" i="1" s="1"/>
  <c r="F3" i="1"/>
  <c r="E3" i="1"/>
  <c r="F2" i="1"/>
  <c r="E2" i="1"/>
</calcChain>
</file>

<file path=xl/sharedStrings.xml><?xml version="1.0" encoding="utf-8"?>
<sst xmlns="http://schemas.openxmlformats.org/spreadsheetml/2006/main" count="15" uniqueCount="15">
  <si>
    <t>Category ID</t>
  </si>
  <si>
    <t>Category Name</t>
  </si>
  <si>
    <t>Area 2017 (km²)</t>
  </si>
  <si>
    <t>Area 2020 (km²)</t>
  </si>
  <si>
    <t>Change (km²)</t>
  </si>
  <si>
    <t>Change (%)</t>
  </si>
  <si>
    <t>Forest</t>
  </si>
  <si>
    <t>Grass/Savannas</t>
  </si>
  <si>
    <t>Wetlands</t>
  </si>
  <si>
    <t>Croplands</t>
  </si>
  <si>
    <t>Urban</t>
  </si>
  <si>
    <t>Barren</t>
  </si>
  <si>
    <t>Water Bodies</t>
  </si>
  <si>
    <t>Total</t>
  </si>
  <si>
    <r>
      <t xml:space="preserve">Note: Snow/Ice (category 6) had zero area in both years and is omitted. Water Bodies (category 8) shows an identical value in 2017 and 2020 (1.6039065 km²) in the source GEE output — </t>
    </r>
    <r>
      <rPr>
        <i/>
        <sz val="9"/>
        <color rgb="FFFF0000"/>
        <rFont val="Calibri"/>
        <family val="2"/>
      </rPr>
      <t>worth double-checking</t>
    </r>
    <r>
      <rPr>
        <i/>
        <sz val="9"/>
        <color rgb="FF666666"/>
        <rFont val="Calibri"/>
        <charset val="1"/>
      </rPr>
      <t xml:space="preserve"> this wasn't a cached/stale computation in the console before treating it as a real finding, since your separate NDWI-based water analysis (29.45 to 35.33 km², 2017 to 2024) shows a much larger water extent than this MODIS-classification-derived figure. The two numbers aren't measuring the same thing (MODIS 500m land-cover classification vs. Sentinel-2 10m NDWI index) so a mismatch is expected, but the exact-match repeat value across years is worth a sanity check.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</si>
</sst>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i/>
      <sz val="9"/>
      <color rgb="FF666666"/>
      <name val="Calibri"/>
      <charset val="1"/>
    </font>
    <font>
      <i/>
      <sz val="9"/>
      <color rgb="FFFF0000"/>
      <name val="Calibri"/>
      <family val="2"/>
    </font>
    <font>
      <i/>
      <sz val="9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37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LCStats" displayName="LULCStats" ref="A1:F9" totalsRowShown="0">
  <autoFilter ref="A1:F9" xr:uid="{00000000-0009-0000-0100-000001000000}"/>
  <tableColumns count="6">
    <tableColumn id="1" xr3:uid="{00000000-0010-0000-0000-000001000000}" name="Category ID"/>
    <tableColumn id="2" xr3:uid="{00000000-0010-0000-0000-000002000000}" name="Category Name"/>
    <tableColumn id="3" xr3:uid="{00000000-0010-0000-0000-000003000000}" name="Area 2017 (km²)"/>
    <tableColumn id="4" xr3:uid="{00000000-0010-0000-0000-000004000000}" name="Area 2020 (km²)"/>
    <tableColumn id="5" xr3:uid="{00000000-0010-0000-0000-000005000000}" name="Change (km²)"/>
    <tableColumn id="6" xr3:uid="{00000000-0010-0000-0000-000006000000}" name="Change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pane ySplit="1" topLeftCell="A2" activePane="bottomLeft" state="frozen"/>
      <selection pane="bottomLeft" activeCell="I11" sqref="I11"/>
    </sheetView>
  </sheetViews>
  <sheetFormatPr defaultColWidth="8.6640625" defaultRowHeight="14.4" x14ac:dyDescent="0.3"/>
  <cols>
    <col min="1" max="1" width="12" customWidth="1"/>
    <col min="2" max="2" width="20" customWidth="1"/>
    <col min="3" max="4" width="16" customWidth="1"/>
    <col min="5" max="5" width="14" customWidth="1"/>
    <col min="6" max="6" width="12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4" t="s">
        <v>6</v>
      </c>
      <c r="C2" s="3">
        <v>25.42</v>
      </c>
      <c r="D2" s="3">
        <v>42.2</v>
      </c>
      <c r="E2" s="3">
        <f t="shared" ref="E2:E8" si="0">D2-C2</f>
        <v>16.78</v>
      </c>
      <c r="F2" s="5">
        <f t="shared" ref="F2:F8" si="1">IF(C2=0,"",(D2-C2)/C2*100)</f>
        <v>66.01101494885917</v>
      </c>
    </row>
    <row r="3" spans="1:6" x14ac:dyDescent="0.3">
      <c r="A3" s="3">
        <v>2</v>
      </c>
      <c r="B3" s="4" t="s">
        <v>7</v>
      </c>
      <c r="C3" s="3">
        <v>897.01</v>
      </c>
      <c r="D3" s="3">
        <v>640.86</v>
      </c>
      <c r="E3" s="3">
        <f t="shared" si="0"/>
        <v>-256.14999999999998</v>
      </c>
      <c r="F3" s="5">
        <f t="shared" si="1"/>
        <v>-28.555980423852574</v>
      </c>
    </row>
    <row r="4" spans="1:6" x14ac:dyDescent="0.3">
      <c r="A4" s="3">
        <v>3</v>
      </c>
      <c r="B4" s="4" t="s">
        <v>8</v>
      </c>
      <c r="C4" s="3">
        <v>0.46</v>
      </c>
      <c r="D4" s="3">
        <v>0.69</v>
      </c>
      <c r="E4" s="3">
        <f t="shared" si="0"/>
        <v>0.22999999999999993</v>
      </c>
      <c r="F4" s="5">
        <f t="shared" si="1"/>
        <v>49.999999999999986</v>
      </c>
    </row>
    <row r="5" spans="1:6" x14ac:dyDescent="0.3">
      <c r="A5" s="3">
        <v>4</v>
      </c>
      <c r="B5" s="4" t="s">
        <v>9</v>
      </c>
      <c r="C5" s="3">
        <v>5590.13</v>
      </c>
      <c r="D5" s="3">
        <v>5828.81</v>
      </c>
      <c r="E5" s="3">
        <f t="shared" si="0"/>
        <v>238.68000000000029</v>
      </c>
      <c r="F5" s="5">
        <f t="shared" si="1"/>
        <v>4.2696681472523945</v>
      </c>
    </row>
    <row r="6" spans="1:6" x14ac:dyDescent="0.3">
      <c r="A6" s="3">
        <v>5</v>
      </c>
      <c r="B6" s="4" t="s">
        <v>10</v>
      </c>
      <c r="C6" s="3">
        <v>33.01</v>
      </c>
      <c r="D6" s="3">
        <v>33.700000000000003</v>
      </c>
      <c r="E6" s="3">
        <f t="shared" si="0"/>
        <v>0.69000000000000483</v>
      </c>
      <c r="F6" s="5">
        <f t="shared" si="1"/>
        <v>2.0902756740381849</v>
      </c>
    </row>
    <row r="7" spans="1:6" x14ac:dyDescent="0.3">
      <c r="A7" s="3">
        <v>7</v>
      </c>
      <c r="B7" s="4" t="s">
        <v>11</v>
      </c>
      <c r="C7" s="3">
        <v>0.42</v>
      </c>
      <c r="D7" s="3">
        <v>0.19</v>
      </c>
      <c r="E7" s="3">
        <f t="shared" si="0"/>
        <v>-0.22999999999999998</v>
      </c>
      <c r="F7" s="5">
        <f t="shared" si="1"/>
        <v>-54.761904761904759</v>
      </c>
    </row>
    <row r="8" spans="1:6" x14ac:dyDescent="0.3">
      <c r="A8" s="3">
        <v>8</v>
      </c>
      <c r="B8" s="4" t="s">
        <v>12</v>
      </c>
      <c r="C8" s="3">
        <v>1.6</v>
      </c>
      <c r="D8" s="3">
        <v>1.6</v>
      </c>
      <c r="E8" s="3">
        <f t="shared" si="0"/>
        <v>0</v>
      </c>
      <c r="F8" s="5">
        <f t="shared" si="1"/>
        <v>0</v>
      </c>
    </row>
    <row r="9" spans="1:6" x14ac:dyDescent="0.3">
      <c r="A9" s="6"/>
      <c r="B9" s="7" t="s">
        <v>13</v>
      </c>
      <c r="C9" s="8">
        <f>SUM(C2:C8)</f>
        <v>6548.0500000000011</v>
      </c>
      <c r="D9" s="8">
        <f>SUM(D2:D8)</f>
        <v>6548.05</v>
      </c>
      <c r="E9" s="8">
        <f>SUM(E2:E8)</f>
        <v>3.0953017926549364E-13</v>
      </c>
      <c r="F9" s="8"/>
    </row>
    <row r="11" spans="1:6" ht="90" customHeight="1" x14ac:dyDescent="0.3">
      <c r="A11" s="9" t="s">
        <v>14</v>
      </c>
      <c r="B11" s="1"/>
      <c r="C11" s="1"/>
      <c r="D11" s="1"/>
      <c r="E11" s="1"/>
      <c r="F11" s="1"/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LULC Area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Sparsh Kapoor</cp:lastModifiedBy>
  <cp:revision>0</cp:revision>
  <dcterms:created xsi:type="dcterms:W3CDTF">2026-07-23T13:17:56Z</dcterms:created>
  <dcterms:modified xsi:type="dcterms:W3CDTF">2026-08-18T10:01:08Z</dcterms:modified>
  <dc:language>en-US</dc:language>
</cp:coreProperties>
</file>