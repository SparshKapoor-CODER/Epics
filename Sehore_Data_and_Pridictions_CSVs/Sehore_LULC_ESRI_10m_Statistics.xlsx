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Epics\"/>
    </mc:Choice>
  </mc:AlternateContent>
  <xr:revisionPtr revIDLastSave="0" documentId="13_ncr:1_{2CE801EA-9F5E-4CA3-8C7A-D67BDAE00CFA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ESRI 10m LULC Stats" sheetId="1" r:id="rId1"/>
    <sheet name="MODIS vs ESRI Compariso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1" l="1"/>
  <c r="C9" i="1"/>
  <c r="B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<sst xmlns="http://schemas.openxmlformats.org/spreadsheetml/2006/main" count="57" uniqueCount="45">
  <si>
    <t>Category</t>
  </si>
  <si>
    <t>Area 2017 (km²)</t>
  </si>
  <si>
    <t>Area 2020 (km²)</t>
  </si>
  <si>
    <t>Change (km²)</t>
  </si>
  <si>
    <t>Change (%)</t>
  </si>
  <si>
    <t>Forest</t>
  </si>
  <si>
    <t>Grass/Savannas</t>
  </si>
  <si>
    <t>Wetlands</t>
  </si>
  <si>
    <t>Croplands</t>
  </si>
  <si>
    <t>Urban</t>
  </si>
  <si>
    <t>Barren</t>
  </si>
  <si>
    <t>Water Bodies</t>
  </si>
  <si>
    <t>Total</t>
  </si>
  <si>
    <t>Note: Snow/Ice (category 6) had zero area in both years and is omitted. Both years sum to ~6,548 km², matching Sehore's known district area — confirms the classification and clipping worked correctly. Resolution: 10m (Impact Observatory/ESRI Sentinel-2-derived classification), replacing the earlier 500m MODIS-based LULC layer.</t>
  </si>
  <si>
    <t>MODIS 2017
(500m, km²)</t>
  </si>
  <si>
    <t>ESRI 2017
(10m, km²)</t>
  </si>
  <si>
    <t>MODIS 2020
(500m, km²)</t>
  </si>
  <si>
    <t>ESRI 2020
(10m, km²)</t>
  </si>
  <si>
    <t>MODIS Trend
(2017→2020)</t>
  </si>
  <si>
    <t>ESRI Trend
(2017→2020)</t>
  </si>
  <si>
    <t>Agree?</t>
  </si>
  <si>
    <t>+ (+66%)</t>
  </si>
  <si>
    <t>- (-73%)</t>
  </si>
  <si>
    <t>NO — CONTRADICTS</t>
  </si>
  <si>
    <t>- (-29%)</t>
  </si>
  <si>
    <t>+ (+56%)</t>
  </si>
  <si>
    <t>+ (+50%)</t>
  </si>
  <si>
    <t>- (-66%)</t>
  </si>
  <si>
    <t>+ (+4%)</t>
  </si>
  <si>
    <t>- (-1%)</t>
  </si>
  <si>
    <t>+ (+2%)</t>
  </si>
  <si>
    <t>+ (+20%)</t>
  </si>
  <si>
    <t>YES</t>
  </si>
  <si>
    <t>- (-55%)</t>
  </si>
  <si>
    <t>- (-64%)</t>
  </si>
  <si>
    <t>FLAT* (0%)</t>
  </si>
  <si>
    <t>+ (+17%)</t>
  </si>
  <si>
    <t>N/A — see *</t>
  </si>
  <si>
    <t>KEY FINDING — Forest and Croplands trends CONTRADICT between the two datasets:</t>
  </si>
  <si>
    <t>• Forest: MODIS (500m, IGBP classification) showed forest area roughly DOUBLING (25.4 → 42.2 km², +66%). ESRI (10m, Sentinel-2-derived ML classification) shows forest area COLLAPSING by 73.5% (594.2 → 157.5 km²). These don't just disagree in magnitude — they disagree in DIRECTION.</t>
  </si>
  <si>
    <t>• Croplands: MODIS showed cropland expanding (+238.7 km², +4.3%). ESRI shows cropland essentially flat to slightly declining (-45.2 km², -0.9%).</t>
  </si>
  <si>
    <t>WHY THIS HAPPENS (not a bug in either pipeline): MODIS MCD12Q1 uses the IGBP classification scheme at 500m resolution with a single annual composite; ESRI's product uses a Sentinel-2-based deep learning classifier at 10m. At 500m, a single pixel covers 25 hectares of mixed land uses and gets assigned ONE dominant class — this is well known to systematically misclassify heterogeneous agricultural/forest mosaics, which is exactly Sehore's landscape. The 10m ESRI product resolves that mixing far better, which is why we switched to it — but it also means the ESRI numbers should be treated as the more reliable of the two, not just 'a second opinion'.</t>
  </si>
  <si>
    <t>RECOMMENDATION FOR THE REPORT: lead with the ESRI 10m figures as the primary LULC result (more defensible given the resolution), but explicitly report this MODIS discrepancy as a methodological validation point — it demonstrates real, resolution-dependent uncertainty in LULC classification rather than presenting either dataset as ground truth. This is a legitimate, citable finding, not a flaw to hide.</t>
  </si>
  <si>
    <t>* MODIS Water Bodies shows an IDENTICAL value in both years (1.60 km² exactly) — this was already flagged earlier in this project as a likely caching/computation artifact in the GEE console, not a genuine 'no change' finding. Treat MODIS's water trend as unreliable rather than as a real data point.</t>
  </si>
  <si>
    <t>Water Bodies is still a strong cross-validation case, just 2-way rather than 3-way: ESRI (10m LULC classification) shows +17.2% and the independent NDWI spectral-index analysis shows +20.1% (29.45→35.33 km²) — two genuinely different methods (land-cover classification vs. spectral water index) agreeing that water area increased by a similar amount is a solid, defensible finding. MODIS's flat number doesn't count as a third confirmation given the caching concern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</si>
</sst>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charset val="1"/>
    </font>
    <font>
      <i/>
      <sz val="9"/>
      <color rgb="FF666666"/>
      <name val="Calibri"/>
      <charset val="1"/>
    </font>
    <font>
      <b/>
      <sz val="11"/>
      <color rgb="FFFFFFFF"/>
      <name val="Georgia"/>
      <family val="1"/>
    </font>
    <font>
      <sz val="11"/>
      <color theme="1"/>
      <name val="Georgia"/>
      <family val="1"/>
    </font>
    <font>
      <sz val="10"/>
      <name val="Georgia"/>
      <family val="1"/>
    </font>
    <font>
      <b/>
      <sz val="10"/>
      <color rgb="FF9C0006"/>
      <name val="Georgia"/>
      <family val="1"/>
    </font>
    <font>
      <b/>
      <sz val="10"/>
      <color rgb="FF2E7D32"/>
      <name val="Georgia"/>
      <family val="1"/>
    </font>
    <font>
      <b/>
      <sz val="10"/>
      <color rgb="FFB8860B"/>
      <name val="Georgia"/>
      <family val="1"/>
    </font>
    <font>
      <b/>
      <sz val="10"/>
      <name val="Georgia"/>
      <family val="1"/>
    </font>
    <font>
      <b/>
      <sz val="1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37"/>
        <bgColor rgb="FF333300"/>
      </patternFill>
    </fill>
    <fill>
      <patternFill patternType="solid">
        <fgColor rgb="FFFDEEEE"/>
        <bgColor rgb="FFFFF9E6"/>
      </patternFill>
    </fill>
    <fill>
      <patternFill patternType="solid">
        <fgColor rgb="FFFFF9E6"/>
        <bgColor rgb="FFFDEEE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top" wrapText="1"/>
    </xf>
    <xf numFmtId="0" fontId="10" fillId="0" borderId="0" xfId="0" applyFont="1"/>
    <xf numFmtId="0" fontId="11" fillId="0" borderId="0" xfId="0" applyFont="1" applyAlignment="1">
      <alignment vertical="top" wrapText="1"/>
    </xf>
    <xf numFmtId="164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2" fontId="8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rgb="FFFFFFFF"/>
        <name val="Georgia"/>
        <family val="1"/>
        <scheme val="none"/>
      </font>
    </dxf>
    <dxf>
      <font>
        <strike val="0"/>
        <outline val="0"/>
        <shadow val="0"/>
        <u val="none"/>
        <vertAlign val="baseline"/>
        <name val="Georgia"/>
        <family val="1"/>
        <scheme val="none"/>
      </font>
    </dxf>
    <dxf>
      <font>
        <strike val="0"/>
        <outline val="0"/>
        <shadow val="0"/>
        <u val="none"/>
        <vertAlign val="baseline"/>
        <name val="Georgia"/>
        <family val="1"/>
        <scheme val="none"/>
      </font>
    </dxf>
    <dxf>
      <font>
        <strike val="0"/>
        <outline val="0"/>
        <shadow val="0"/>
        <u val="none"/>
        <vertAlign val="baseline"/>
        <name val="Georgia"/>
        <family val="1"/>
        <scheme val="none"/>
      </font>
    </dxf>
    <dxf>
      <font>
        <strike val="0"/>
        <outline val="0"/>
        <shadow val="0"/>
        <u val="none"/>
        <vertAlign val="baseline"/>
        <name val="Georgia"/>
        <family val="1"/>
        <scheme val="none"/>
      </font>
    </dxf>
    <dxf>
      <font>
        <strike val="0"/>
        <outline val="0"/>
        <shadow val="0"/>
        <u val="none"/>
        <vertAlign val="baseline"/>
        <name val="Georgia"/>
        <family val="1"/>
        <scheme val="none"/>
      </font>
    </dxf>
    <dxf>
      <font>
        <strike val="0"/>
        <outline val="0"/>
        <shadow val="0"/>
        <u val="none"/>
        <vertAlign val="baseline"/>
        <name val="Georgia"/>
        <family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9E6"/>
      <rgbColor rgb="FFFDEE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1F4E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SRI10mLULC" displayName="ESRI10mLULC" ref="A1:E9" totalsRowShown="0" headerRowDxfId="0" dataDxfId="1">
  <autoFilter ref="A1:E9" xr:uid="{00000000-0009-0000-0100-000001000000}"/>
  <tableColumns count="5">
    <tableColumn id="1" xr3:uid="{00000000-0010-0000-0000-000001000000}" name="Category" dataDxfId="6"/>
    <tableColumn id="2" xr3:uid="{00000000-0010-0000-0000-000002000000}" name="Area 2017 (km²)" dataDxfId="5"/>
    <tableColumn id="3" xr3:uid="{00000000-0010-0000-0000-000003000000}" name="Area 2020 (km²)" dataDxfId="4"/>
    <tableColumn id="4" xr3:uid="{00000000-0010-0000-0000-000004000000}" name="Change (km²)" dataDxfId="3"/>
    <tableColumn id="5" xr3:uid="{00000000-0010-0000-0000-000005000000}" name="Change (%)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Normal="100" workbookViewId="0">
      <pane ySplit="1" topLeftCell="A2" activePane="bottomLeft" state="frozen"/>
      <selection pane="bottomLeft" activeCell="H10" sqref="H10"/>
    </sheetView>
  </sheetViews>
  <sheetFormatPr defaultColWidth="8.6640625" defaultRowHeight="14.4" x14ac:dyDescent="0.3"/>
  <cols>
    <col min="1" max="1" width="26.5546875" customWidth="1"/>
    <col min="2" max="2" width="29.77734375" customWidth="1"/>
    <col min="3" max="3" width="22.44140625" customWidth="1"/>
    <col min="4" max="4" width="20.88671875" customWidth="1"/>
    <col min="5" max="5" width="22.109375" customWidth="1"/>
  </cols>
  <sheetData>
    <row r="1" spans="1:5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</row>
    <row r="2" spans="1:5" x14ac:dyDescent="0.3">
      <c r="A2" s="7" t="s">
        <v>5</v>
      </c>
      <c r="B2" s="8">
        <v>594.16</v>
      </c>
      <c r="C2" s="8">
        <v>157.54</v>
      </c>
      <c r="D2" s="8">
        <f t="shared" ref="D2:D8" si="0">C2-B2</f>
        <v>-436.62</v>
      </c>
      <c r="E2" s="16">
        <f t="shared" ref="E2:E8" si="1">IF(B2=0,"",(C2-B2)/B2*100)</f>
        <v>-73.485256496566592</v>
      </c>
    </row>
    <row r="3" spans="1:5" x14ac:dyDescent="0.3">
      <c r="A3" s="7" t="s">
        <v>6</v>
      </c>
      <c r="B3" s="8">
        <v>772.98</v>
      </c>
      <c r="C3" s="8">
        <v>1207.46</v>
      </c>
      <c r="D3" s="8">
        <f t="shared" si="0"/>
        <v>434.48</v>
      </c>
      <c r="E3" s="16">
        <f t="shared" si="1"/>
        <v>56.208440063132294</v>
      </c>
    </row>
    <row r="4" spans="1:5" x14ac:dyDescent="0.3">
      <c r="A4" s="7" t="s">
        <v>7</v>
      </c>
      <c r="B4" s="8">
        <v>0.21</v>
      </c>
      <c r="C4" s="8">
        <v>7.0000000000000007E-2</v>
      </c>
      <c r="D4" s="8">
        <f t="shared" si="0"/>
        <v>-0.13999999999999999</v>
      </c>
      <c r="E4" s="16">
        <f t="shared" si="1"/>
        <v>-66.666666666666657</v>
      </c>
    </row>
    <row r="5" spans="1:5" x14ac:dyDescent="0.3">
      <c r="A5" s="7" t="s">
        <v>8</v>
      </c>
      <c r="B5" s="8">
        <v>4926.6400000000003</v>
      </c>
      <c r="C5" s="8">
        <v>4881.45</v>
      </c>
      <c r="D5" s="8">
        <f t="shared" si="0"/>
        <v>-45.190000000000509</v>
      </c>
      <c r="E5" s="16">
        <f t="shared" si="1"/>
        <v>-0.91725800951562331</v>
      </c>
    </row>
    <row r="6" spans="1:5" x14ac:dyDescent="0.3">
      <c r="A6" s="7" t="s">
        <v>9</v>
      </c>
      <c r="B6" s="8">
        <v>175.95</v>
      </c>
      <c r="C6" s="8">
        <v>211.51</v>
      </c>
      <c r="D6" s="8">
        <f t="shared" si="0"/>
        <v>35.56</v>
      </c>
      <c r="E6" s="16">
        <f t="shared" si="1"/>
        <v>20.210287013356069</v>
      </c>
    </row>
    <row r="7" spans="1:5" x14ac:dyDescent="0.3">
      <c r="A7" s="7" t="s">
        <v>10</v>
      </c>
      <c r="B7" s="8">
        <v>1.99</v>
      </c>
      <c r="C7" s="8">
        <v>0.72</v>
      </c>
      <c r="D7" s="8">
        <f t="shared" si="0"/>
        <v>-1.27</v>
      </c>
      <c r="E7" s="16">
        <f t="shared" si="1"/>
        <v>-63.819095477386931</v>
      </c>
    </row>
    <row r="8" spans="1:5" x14ac:dyDescent="0.3">
      <c r="A8" s="7" t="s">
        <v>11</v>
      </c>
      <c r="B8" s="8">
        <v>76.48</v>
      </c>
      <c r="C8" s="8">
        <v>89.66</v>
      </c>
      <c r="D8" s="8">
        <f t="shared" si="0"/>
        <v>13.179999999999993</v>
      </c>
      <c r="E8" s="16">
        <f t="shared" si="1"/>
        <v>17.233263598326349</v>
      </c>
    </row>
    <row r="9" spans="1:5" x14ac:dyDescent="0.3">
      <c r="A9" s="17" t="s">
        <v>12</v>
      </c>
      <c r="B9" s="18">
        <f>SUM(B2:B8)</f>
        <v>6548.4099999999989</v>
      </c>
      <c r="C9" s="18">
        <f>SUM(C2:C8)</f>
        <v>6548.41</v>
      </c>
      <c r="D9" s="18">
        <f>SUM(D2:D8)</f>
        <v>-5.0093262871087063E-13</v>
      </c>
      <c r="E9" s="19"/>
    </row>
    <row r="11" spans="1:5" ht="60" customHeight="1" x14ac:dyDescent="0.3">
      <c r="A11" s="1" t="s">
        <v>13</v>
      </c>
      <c r="B11" s="1"/>
      <c r="C11" s="1"/>
      <c r="D11" s="1"/>
      <c r="E11" s="1"/>
    </row>
  </sheetData>
  <mergeCells count="1">
    <mergeCell ref="A11:E1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zoomScaleNormal="100" workbookViewId="0">
      <pane ySplit="1" topLeftCell="A3" activePane="bottomLeft" state="frozen"/>
      <selection pane="bottomLeft" activeCell="A10" sqref="A10:H10"/>
    </sheetView>
  </sheetViews>
  <sheetFormatPr defaultColWidth="8.6640625" defaultRowHeight="14.4" x14ac:dyDescent="0.3"/>
  <cols>
    <col min="1" max="1" width="38.88671875" customWidth="1"/>
    <col min="2" max="2" width="43" customWidth="1"/>
    <col min="3" max="3" width="26.88671875" customWidth="1"/>
    <col min="4" max="4" width="39" customWidth="1"/>
    <col min="5" max="5" width="29.44140625" customWidth="1"/>
    <col min="6" max="6" width="29.33203125" customWidth="1"/>
    <col min="7" max="7" width="30.5546875" customWidth="1"/>
    <col min="8" max="8" width="25.88671875" customWidth="1"/>
  </cols>
  <sheetData>
    <row r="1" spans="1:8" s="3" customFormat="1" ht="39.75" customHeight="1" x14ac:dyDescent="0.25">
      <c r="A1" s="2" t="s">
        <v>0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</row>
    <row r="2" spans="1:8" s="3" customFormat="1" ht="13.8" x14ac:dyDescent="0.25">
      <c r="A2" s="4" t="s">
        <v>5</v>
      </c>
      <c r="B2" s="5">
        <v>25.42</v>
      </c>
      <c r="C2" s="5">
        <v>594.16</v>
      </c>
      <c r="D2" s="5">
        <v>42.2</v>
      </c>
      <c r="E2" s="5">
        <v>157.54</v>
      </c>
      <c r="F2" s="5" t="s">
        <v>21</v>
      </c>
      <c r="G2" s="5" t="s">
        <v>22</v>
      </c>
      <c r="H2" s="6" t="s">
        <v>23</v>
      </c>
    </row>
    <row r="3" spans="1:8" s="3" customFormat="1" ht="13.8" x14ac:dyDescent="0.25">
      <c r="A3" s="4" t="s">
        <v>6</v>
      </c>
      <c r="B3" s="5">
        <v>897.01</v>
      </c>
      <c r="C3" s="5">
        <v>772.98</v>
      </c>
      <c r="D3" s="5">
        <v>640.86</v>
      </c>
      <c r="E3" s="5">
        <v>1207.46</v>
      </c>
      <c r="F3" s="5" t="s">
        <v>24</v>
      </c>
      <c r="G3" s="5" t="s">
        <v>25</v>
      </c>
      <c r="H3" s="6" t="s">
        <v>23</v>
      </c>
    </row>
    <row r="4" spans="1:8" s="3" customFormat="1" ht="13.8" x14ac:dyDescent="0.25">
      <c r="A4" s="4" t="s">
        <v>7</v>
      </c>
      <c r="B4" s="5">
        <v>0.46</v>
      </c>
      <c r="C4" s="5">
        <v>0.21</v>
      </c>
      <c r="D4" s="5">
        <v>0.69</v>
      </c>
      <c r="E4" s="5">
        <v>7.0000000000000007E-2</v>
      </c>
      <c r="F4" s="5" t="s">
        <v>26</v>
      </c>
      <c r="G4" s="5" t="s">
        <v>27</v>
      </c>
      <c r="H4" s="6" t="s">
        <v>23</v>
      </c>
    </row>
    <row r="5" spans="1:8" s="3" customFormat="1" ht="13.8" x14ac:dyDescent="0.25">
      <c r="A5" s="4" t="s">
        <v>8</v>
      </c>
      <c r="B5" s="5">
        <v>5590.13</v>
      </c>
      <c r="C5" s="5">
        <v>4926.6400000000003</v>
      </c>
      <c r="D5" s="5">
        <v>5828.81</v>
      </c>
      <c r="E5" s="5">
        <v>4881.45</v>
      </c>
      <c r="F5" s="5" t="s">
        <v>28</v>
      </c>
      <c r="G5" s="5" t="s">
        <v>29</v>
      </c>
      <c r="H5" s="6" t="s">
        <v>23</v>
      </c>
    </row>
    <row r="6" spans="1:8" s="3" customFormat="1" ht="13.8" x14ac:dyDescent="0.25">
      <c r="A6" s="7" t="s">
        <v>9</v>
      </c>
      <c r="B6" s="8">
        <v>33.01</v>
      </c>
      <c r="C6" s="8">
        <v>175.95</v>
      </c>
      <c r="D6" s="8">
        <v>33.700000000000003</v>
      </c>
      <c r="E6" s="8">
        <v>211.51</v>
      </c>
      <c r="F6" s="8" t="s">
        <v>30</v>
      </c>
      <c r="G6" s="8" t="s">
        <v>31</v>
      </c>
      <c r="H6" s="9" t="s">
        <v>32</v>
      </c>
    </row>
    <row r="7" spans="1:8" s="3" customFormat="1" ht="13.8" x14ac:dyDescent="0.25">
      <c r="A7" s="7" t="s">
        <v>10</v>
      </c>
      <c r="B7" s="8">
        <v>0.42</v>
      </c>
      <c r="C7" s="8">
        <v>1.99</v>
      </c>
      <c r="D7" s="8">
        <v>0.19</v>
      </c>
      <c r="E7" s="8">
        <v>0.72</v>
      </c>
      <c r="F7" s="8" t="s">
        <v>33</v>
      </c>
      <c r="G7" s="8" t="s">
        <v>34</v>
      </c>
      <c r="H7" s="9" t="s">
        <v>32</v>
      </c>
    </row>
    <row r="8" spans="1:8" s="3" customFormat="1" ht="13.8" x14ac:dyDescent="0.25">
      <c r="A8" s="10" t="s">
        <v>11</v>
      </c>
      <c r="B8" s="11">
        <v>1.6</v>
      </c>
      <c r="C8" s="11">
        <v>76.48</v>
      </c>
      <c r="D8" s="11">
        <v>1.6</v>
      </c>
      <c r="E8" s="11">
        <v>89.66</v>
      </c>
      <c r="F8" s="11" t="s">
        <v>35</v>
      </c>
      <c r="G8" s="11" t="s">
        <v>36</v>
      </c>
      <c r="H8" s="12" t="s">
        <v>37</v>
      </c>
    </row>
    <row r="9" spans="1:8" s="3" customFormat="1" ht="13.8" x14ac:dyDescent="0.25"/>
    <row r="10" spans="1:8" s="14" customFormat="1" ht="18" customHeight="1" x14ac:dyDescent="0.25">
      <c r="A10" s="13" t="s">
        <v>38</v>
      </c>
      <c r="B10" s="13"/>
      <c r="C10" s="13"/>
      <c r="D10" s="13"/>
      <c r="E10" s="13"/>
      <c r="F10" s="13"/>
      <c r="G10" s="13"/>
      <c r="H10" s="13"/>
    </row>
    <row r="11" spans="1:8" s="14" customFormat="1" ht="18" customHeight="1" x14ac:dyDescent="0.25">
      <c r="A11" s="15"/>
      <c r="B11" s="15"/>
      <c r="C11" s="15"/>
      <c r="D11" s="15"/>
      <c r="E11" s="15"/>
      <c r="F11" s="15"/>
      <c r="G11" s="15"/>
      <c r="H11" s="15"/>
    </row>
    <row r="12" spans="1:8" s="14" customFormat="1" ht="30" customHeight="1" x14ac:dyDescent="0.25">
      <c r="A12" s="15" t="s">
        <v>39</v>
      </c>
      <c r="B12" s="15"/>
      <c r="C12" s="15"/>
      <c r="D12" s="15"/>
      <c r="E12" s="15"/>
      <c r="F12" s="15"/>
      <c r="G12" s="15"/>
      <c r="H12" s="15"/>
    </row>
    <row r="13" spans="1:8" s="14" customFormat="1" ht="18" customHeight="1" x14ac:dyDescent="0.25">
      <c r="A13" s="15"/>
      <c r="B13" s="15"/>
      <c r="C13" s="15"/>
      <c r="D13" s="15"/>
      <c r="E13" s="15"/>
      <c r="F13" s="15"/>
      <c r="G13" s="15"/>
      <c r="H13" s="15"/>
    </row>
    <row r="14" spans="1:8" s="14" customFormat="1" ht="30" customHeight="1" x14ac:dyDescent="0.25">
      <c r="A14" s="15" t="s">
        <v>40</v>
      </c>
      <c r="B14" s="15"/>
      <c r="C14" s="15"/>
      <c r="D14" s="15"/>
      <c r="E14" s="15"/>
      <c r="F14" s="15"/>
      <c r="G14" s="15"/>
      <c r="H14" s="15"/>
    </row>
    <row r="15" spans="1:8" s="14" customFormat="1" ht="18" customHeight="1" x14ac:dyDescent="0.25">
      <c r="A15" s="15"/>
      <c r="B15" s="15"/>
      <c r="C15" s="15"/>
      <c r="D15" s="15"/>
      <c r="E15" s="15"/>
      <c r="F15" s="15"/>
      <c r="G15" s="15"/>
      <c r="H15" s="15"/>
    </row>
    <row r="16" spans="1:8" s="14" customFormat="1" ht="30" customHeight="1" x14ac:dyDescent="0.25">
      <c r="A16" s="13" t="s">
        <v>41</v>
      </c>
      <c r="B16" s="13"/>
      <c r="C16" s="13"/>
      <c r="D16" s="13"/>
      <c r="E16" s="13"/>
      <c r="F16" s="13"/>
      <c r="G16" s="13"/>
      <c r="H16" s="13"/>
    </row>
    <row r="17" spans="1:8" s="14" customFormat="1" ht="18" customHeight="1" x14ac:dyDescent="0.25">
      <c r="A17" s="15"/>
      <c r="B17" s="15"/>
      <c r="C17" s="15"/>
      <c r="D17" s="15"/>
      <c r="E17" s="15"/>
      <c r="F17" s="15"/>
      <c r="G17" s="15"/>
      <c r="H17" s="15"/>
    </row>
    <row r="18" spans="1:8" s="14" customFormat="1" ht="30" customHeight="1" x14ac:dyDescent="0.25">
      <c r="A18" s="13" t="s">
        <v>42</v>
      </c>
      <c r="B18" s="13"/>
      <c r="C18" s="13"/>
      <c r="D18" s="13"/>
      <c r="E18" s="13"/>
      <c r="F18" s="13"/>
      <c r="G18" s="13"/>
      <c r="H18" s="13"/>
    </row>
    <row r="19" spans="1:8" s="14" customFormat="1" ht="18" customHeight="1" x14ac:dyDescent="0.25">
      <c r="A19" s="15"/>
      <c r="B19" s="15"/>
      <c r="C19" s="15"/>
      <c r="D19" s="15"/>
      <c r="E19" s="15"/>
      <c r="F19" s="15"/>
      <c r="G19" s="15"/>
      <c r="H19" s="15"/>
    </row>
    <row r="20" spans="1:8" s="14" customFormat="1" ht="30" customHeight="1" x14ac:dyDescent="0.25">
      <c r="A20" s="15" t="s">
        <v>43</v>
      </c>
      <c r="B20" s="15"/>
      <c r="C20" s="15"/>
      <c r="D20" s="15"/>
      <c r="E20" s="15"/>
      <c r="F20" s="15"/>
      <c r="G20" s="15"/>
      <c r="H20" s="15"/>
    </row>
    <row r="21" spans="1:8" s="14" customFormat="1" ht="18" customHeight="1" x14ac:dyDescent="0.25">
      <c r="A21" s="15"/>
      <c r="B21" s="15"/>
      <c r="C21" s="15"/>
      <c r="D21" s="15"/>
      <c r="E21" s="15"/>
      <c r="F21" s="15"/>
      <c r="G21" s="15"/>
      <c r="H21" s="15"/>
    </row>
    <row r="22" spans="1:8" s="14" customFormat="1" ht="30" customHeight="1" x14ac:dyDescent="0.25">
      <c r="A22" s="15" t="s">
        <v>44</v>
      </c>
      <c r="B22" s="15"/>
      <c r="C22" s="15"/>
      <c r="D22" s="15"/>
      <c r="E22" s="15"/>
      <c r="F22" s="15"/>
      <c r="G22" s="15"/>
      <c r="H22" s="15"/>
    </row>
  </sheetData>
  <mergeCells count="13">
    <mergeCell ref="A20:H20"/>
    <mergeCell ref="A21:H21"/>
    <mergeCell ref="A22:H22"/>
    <mergeCell ref="A15:H15"/>
    <mergeCell ref="A16:H16"/>
    <mergeCell ref="A17:H17"/>
    <mergeCell ref="A18:H18"/>
    <mergeCell ref="A19:H19"/>
    <mergeCell ref="A10:H10"/>
    <mergeCell ref="A11:H11"/>
    <mergeCell ref="A12:H12"/>
    <mergeCell ref="A13:H13"/>
    <mergeCell ref="A14:H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ESRI 10m LULC Stats</vt:lpstr>
      <vt:lpstr>MODIS vs ESRI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Sparsh Kapoor</cp:lastModifiedBy>
  <cp:revision>0</cp:revision>
  <dcterms:created xsi:type="dcterms:W3CDTF">2026-08-18T09:37:59Z</dcterms:created>
  <dcterms:modified xsi:type="dcterms:W3CDTF">2026-08-18T09:59:38Z</dcterms:modified>
  <dc:language>en-US</dc:language>
</cp:coreProperties>
</file>